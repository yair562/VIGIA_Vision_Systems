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 Proy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Calibri"/>
      <family val="2"/>
      <color theme="1"/>
      <sz val="11"/>
      <scheme val="minor"/>
    </font>
    <font>
      <name val="Calibri"/>
      <b val="1"/>
      <color rgb="001B365D"/>
      <sz val="18"/>
    </font>
    <font>
      <name val="Calibri"/>
      <i val="1"/>
      <color rgb="00555555"/>
      <sz val="11"/>
    </font>
    <font>
      <name val="Calibri"/>
      <b val="1"/>
      <color rgb="001B365D"/>
      <sz val="14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b val="1"/>
      <color rgb="001B365D"/>
      <sz val="12"/>
    </font>
    <font>
      <name val="Calibri"/>
      <b val="1"/>
      <color rgb="001B365D"/>
      <sz val="11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6B9C"/>
        <bgColor rgb="002A6B9C"/>
      </patternFill>
    </fill>
    <fill>
      <patternFill patternType="solid">
        <fgColor rgb="00F9FAFC"/>
        <bgColor rgb="00F9FAFC"/>
      </patternFill>
    </fill>
    <fill>
      <patternFill patternType="solid">
        <fgColor rgb="00EAECEE"/>
        <bgColor rgb="00EAECEE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1B365D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0" fontId="5" fillId="4" borderId="1" applyAlignment="1" pivotButton="0" quotePrefix="0" xfId="0">
      <alignment horizontal="right"/>
    </xf>
    <xf numFmtId="164" fontId="5" fillId="4" borderId="1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164" fontId="4" fillId="0" borderId="1" pivotButton="0" quotePrefix="0" xfId="0"/>
    <xf numFmtId="0" fontId="8" fillId="0" borderId="0" applyAlignment="1" pivotButton="0" quotePrefix="0" xfId="0">
      <alignment horizontal="right"/>
    </xf>
    <xf numFmtId="164" fontId="8" fillId="5" borderId="2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46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68" customWidth="1" min="2" max="2"/>
    <col width="10" customWidth="1" min="3" max="3"/>
    <col width="10" customWidth="1" min="4" max="4"/>
    <col width="18" customWidth="1" min="5" max="5"/>
    <col width="20" customWidth="1" min="6" max="6"/>
  </cols>
  <sheetData>
    <row r="2">
      <c r="B2" s="1" t="inlineStr">
        <is>
          <t>VIGÍA VISION SYSTEMS</t>
        </is>
      </c>
    </row>
    <row r="3">
      <c r="B3" s="2" t="inlineStr">
        <is>
          <t>Sistema Inteligente de Cámaras y Reconocimiento Vehicular (ALPR/LPR)</t>
        </is>
      </c>
    </row>
    <row r="5">
      <c r="B5" s="3" t="inlineStr">
        <is>
          <t>COTIZACIÓN INTEGRAL DE PROYECTO E INFRAESTRUCTURA</t>
        </is>
      </c>
    </row>
    <row r="6">
      <c r="B6" s="4" t="inlineStr">
        <is>
          <t>Cliente / Proyecto:</t>
        </is>
      </c>
      <c r="C6" s="5" t="inlineStr">
        <is>
          <t>Instalación Control de Acceso LPR</t>
        </is>
      </c>
      <c r="F6" s="4" t="inlineStr">
        <is>
          <t>Fecha:</t>
        </is>
      </c>
      <c r="G6" s="5" t="inlineStr">
        <is>
          <t>20/10/2026</t>
        </is>
      </c>
    </row>
    <row r="7">
      <c r="B7" s="4" t="inlineStr">
        <is>
          <t>Ubicación:</t>
        </is>
      </c>
      <c r="C7" s="5" t="inlineStr">
        <is>
          <t>Acceso Principal Vehicular</t>
        </is>
      </c>
      <c r="F7" s="4" t="inlineStr">
        <is>
          <t>Cotización No.:</t>
        </is>
      </c>
      <c r="G7" s="5" t="inlineStr">
        <is>
          <t>COT-2026-VIG-001</t>
        </is>
      </c>
    </row>
    <row r="8">
      <c r="B8" s="4" t="inlineStr">
        <is>
          <t>Elaboró:</t>
        </is>
      </c>
      <c r="C8" s="5" t="inlineStr">
        <is>
          <t>Ernesto Mosqueda Hernández</t>
        </is>
      </c>
      <c r="F8" s="4" t="inlineStr">
        <is>
          <t>Moneda:</t>
        </is>
      </c>
      <c r="G8" s="5" t="inlineStr">
        <is>
          <t>MXN ($)</t>
        </is>
      </c>
    </row>
    <row r="10">
      <c r="A10" s="6" t="inlineStr">
        <is>
          <t>Item</t>
        </is>
      </c>
      <c r="B10" s="6" t="inlineStr">
        <is>
          <t>Descripción de Material / Servicio</t>
        </is>
      </c>
      <c r="C10" s="6" t="inlineStr">
        <is>
          <t>Unidad</t>
        </is>
      </c>
      <c r="D10" s="6" t="inlineStr">
        <is>
          <t>Cant.</t>
        </is>
      </c>
      <c r="E10" s="6" t="inlineStr">
        <is>
          <t>P. Unitario ($)</t>
        </is>
      </c>
      <c r="F10" s="6" t="inlineStr">
        <is>
          <t>Importe ($)</t>
        </is>
      </c>
    </row>
    <row r="11">
      <c r="A11" s="7" t="inlineStr">
        <is>
          <t>PARTIDA 1: HARDWARE Y DISPOSITIVOS DE CAPTURA LPR</t>
        </is>
      </c>
      <c r="B11" s="8" t="n"/>
      <c r="C11" s="8" t="n"/>
      <c r="D11" s="8" t="n"/>
      <c r="E11" s="8" t="n"/>
      <c r="F11" s="8" t="n"/>
    </row>
    <row r="12">
      <c r="A12" s="9" t="n">
        <v>1</v>
      </c>
      <c r="B12" s="10" t="inlineStr">
        <is>
          <t>Cámara LPR IP 4MP con Sensor CMOS y Smart IR (850nm), procesamiento hasta 60 km/h</t>
        </is>
      </c>
      <c r="C12" s="9" t="inlineStr">
        <is>
          <t>Pza</t>
        </is>
      </c>
      <c r="D12" s="11" t="n">
        <v>1</v>
      </c>
      <c r="E12" s="12" t="n">
        <v>18500</v>
      </c>
      <c r="F12" s="12">
        <f>D12*E12</f>
        <v/>
      </c>
    </row>
    <row r="13">
      <c r="A13" s="13" t="n">
        <v>2</v>
      </c>
      <c r="B13" s="14" t="inlineStr">
        <is>
          <t>Iluminador Infrarrojo de Apoyo IR 850nm alcance 50m para captura nocturna</t>
        </is>
      </c>
      <c r="C13" s="13" t="inlineStr">
        <is>
          <t>Pza</t>
        </is>
      </c>
      <c r="D13" s="15" t="n">
        <v>1</v>
      </c>
      <c r="E13" s="16" t="n">
        <v>3200</v>
      </c>
      <c r="F13" s="16">
        <f>D13*E13</f>
        <v/>
      </c>
    </row>
    <row r="14">
      <c r="A14" s="9" t="n">
        <v>3</v>
      </c>
      <c r="B14" s="10" t="inlineStr">
        <is>
          <t>Gabinete / Enclosure de Intemperie IP66 con termostato y ventilador</t>
        </is>
      </c>
      <c r="C14" s="9" t="inlineStr">
        <is>
          <t>Pza</t>
        </is>
      </c>
      <c r="D14" s="11" t="n">
        <v>1</v>
      </c>
      <c r="E14" s="12" t="n">
        <v>2400</v>
      </c>
      <c r="F14" s="12">
        <f>D14*E14</f>
        <v/>
      </c>
    </row>
    <row r="15">
      <c r="A15" s="7" t="inlineStr">
        <is>
          <t>PARTIDA 2: ESTRUCTURA Y SOPORTORÍA FÍSICA</t>
        </is>
      </c>
      <c r="B15" s="8" t="n"/>
      <c r="C15" s="8" t="n"/>
      <c r="D15" s="8" t="n"/>
      <c r="E15" s="8" t="n"/>
      <c r="F15" s="8" t="n"/>
    </row>
    <row r="16">
      <c r="A16" s="13" t="n">
        <v>4</v>
      </c>
      <c r="B16" s="14" t="inlineStr">
        <is>
          <t>Poste / Mástil de Acero Galvanizado en Caliente 3.0m x 3" cédula 40</t>
        </is>
      </c>
      <c r="C16" s="13" t="inlineStr">
        <is>
          <t>Pza</t>
        </is>
      </c>
      <c r="D16" s="15" t="n">
        <v>1</v>
      </c>
      <c r="E16" s="16" t="n">
        <v>4800</v>
      </c>
      <c r="F16" s="16">
        <f>D16*E16</f>
        <v/>
      </c>
    </row>
    <row r="17">
      <c r="A17" s="9" t="n">
        <v>5</v>
      </c>
      <c r="B17" s="10" t="inlineStr">
        <is>
          <t>Base de anclaje de acero con anclas de cimentación y cartabones</t>
        </is>
      </c>
      <c r="C17" s="9" t="inlineStr">
        <is>
          <t>Jgo</t>
        </is>
      </c>
      <c r="D17" s="11" t="n">
        <v>1</v>
      </c>
      <c r="E17" s="12" t="n">
        <v>1850</v>
      </c>
      <c r="F17" s="12">
        <f>D17*E17</f>
        <v/>
      </c>
    </row>
    <row r="18">
      <c r="A18" s="13" t="n">
        <v>6</v>
      </c>
      <c r="B18" s="14" t="inlineStr">
        <is>
          <t>Brazo de extensión / Soporte tipo cisne para ajuste de ángulo LPR</t>
        </is>
      </c>
      <c r="C18" s="13" t="inlineStr">
        <is>
          <t>Pza</t>
        </is>
      </c>
      <c r="D18" s="15" t="n">
        <v>1</v>
      </c>
      <c r="E18" s="16" t="n">
        <v>1250</v>
      </c>
      <c r="F18" s="16">
        <f>D18*E18</f>
        <v/>
      </c>
    </row>
    <row r="19">
      <c r="A19" s="9" t="n">
        <v>7</v>
      </c>
      <c r="B19" s="10" t="inlineStr">
        <is>
          <t>Obra civil menor: Cimentación de concreto para base de poste (40x40x60 cm)</t>
        </is>
      </c>
      <c r="C19" s="9" t="inlineStr">
        <is>
          <t>Serv</t>
        </is>
      </c>
      <c r="D19" s="11" t="n">
        <v>1</v>
      </c>
      <c r="E19" s="12" t="n">
        <v>2500</v>
      </c>
      <c r="F19" s="12">
        <f>D19*E19</f>
        <v/>
      </c>
    </row>
    <row r="20">
      <c r="A20" s="7" t="inlineStr">
        <is>
          <t>PARTIDA 3: CABLEADO, CANALIZACIÓN Y CONECTIVIDAD</t>
        </is>
      </c>
      <c r="B20" s="8" t="n"/>
      <c r="C20" s="8" t="n"/>
      <c r="D20" s="8" t="n"/>
      <c r="E20" s="8" t="n"/>
      <c r="F20" s="8" t="n"/>
    </row>
    <row r="21">
      <c r="A21" s="13" t="n">
        <v>8</v>
      </c>
      <c r="B21" s="14" t="inlineStr">
        <is>
          <t>Bobina Cable de Red UTP Cat6 100% Cobre para Exteriores/Intemperie (Chaqueta UV)</t>
        </is>
      </c>
      <c r="C21" s="13" t="inlineStr">
        <is>
          <t>Bobina</t>
        </is>
      </c>
      <c r="D21" s="15" t="n">
        <v>0.5</v>
      </c>
      <c r="E21" s="16" t="n">
        <v>3600</v>
      </c>
      <c r="F21" s="16">
        <f>D21*E21</f>
        <v/>
      </c>
    </row>
    <row r="22">
      <c r="A22" s="9" t="n">
        <v>9</v>
      </c>
      <c r="B22" s="10" t="inlineStr">
        <is>
          <t>Tubería Conduit Pared Gruesa Galvanizada 3/4" con accesorios y abrazaderas (Tramo 3m)</t>
        </is>
      </c>
      <c r="C22" s="9" t="inlineStr">
        <is>
          <t>Tramo</t>
        </is>
      </c>
      <c r="D22" s="11" t="n">
        <v>8</v>
      </c>
      <c r="E22" s="12" t="n">
        <v>280</v>
      </c>
      <c r="F22" s="12">
        <f>D22*E22</f>
        <v/>
      </c>
    </row>
    <row r="23">
      <c r="A23" s="13" t="n">
        <v>10</v>
      </c>
      <c r="B23" s="14" t="inlineStr">
        <is>
          <t>Manguera Conduit Flexible Licuatite 3/4" con conectores glándula herméticos</t>
        </is>
      </c>
      <c r="C23" s="13" t="inlineStr">
        <is>
          <t>Metro</t>
        </is>
      </c>
      <c r="D23" s="15" t="n">
        <v>5</v>
      </c>
      <c r="E23" s="16" t="n">
        <v>65</v>
      </c>
      <c r="F23" s="16">
        <f>D23*E23</f>
        <v/>
      </c>
    </row>
    <row r="24">
      <c r="A24" s="9" t="n">
        <v>11</v>
      </c>
      <c r="B24" s="10" t="inlineStr">
        <is>
          <t>Caja de registro y empalme estanca NEMA 4X / IP65 para intemperie</t>
        </is>
      </c>
      <c r="C24" s="9" t="inlineStr">
        <is>
          <t>Pza</t>
        </is>
      </c>
      <c r="D24" s="11" t="n">
        <v>2</v>
      </c>
      <c r="E24" s="12" t="n">
        <v>450</v>
      </c>
      <c r="F24" s="12">
        <f>D24*E24</f>
        <v/>
      </c>
    </row>
    <row r="25">
      <c r="A25" s="13" t="n">
        <v>12</v>
      </c>
      <c r="B25" s="14" t="inlineStr">
        <is>
          <t>Conectores RJ45 Cat6 Blindados STP con botas de protección</t>
        </is>
      </c>
      <c r="C25" s="13" t="inlineStr">
        <is>
          <t>Jgo</t>
        </is>
      </c>
      <c r="D25" s="15" t="n">
        <v>10</v>
      </c>
      <c r="E25" s="16" t="n">
        <v>35</v>
      </c>
      <c r="F25" s="16">
        <f>D25*E25</f>
        <v/>
      </c>
    </row>
    <row r="26">
      <c r="A26" s="7" t="inlineStr">
        <is>
          <t>PARTIDA 4: ENERGÍA, PROTECCIÓN Y CONTROL DE ACCESO</t>
        </is>
      </c>
      <c r="B26" s="8" t="n"/>
      <c r="C26" s="8" t="n"/>
      <c r="D26" s="8" t="n"/>
      <c r="E26" s="8" t="n"/>
      <c r="F26" s="8" t="n"/>
    </row>
    <row r="27">
      <c r="A27" s="9" t="n">
        <v>13</v>
      </c>
      <c r="B27" s="10" t="inlineStr">
        <is>
          <t>Switch PoE+ Industrial de 4 Puertos Gigabit + 2 SFP Unmanaged IP30</t>
        </is>
      </c>
      <c r="C27" s="9" t="inlineStr">
        <is>
          <t>Pza</t>
        </is>
      </c>
      <c r="D27" s="11" t="n">
        <v>1</v>
      </c>
      <c r="E27" s="12" t="n">
        <v>3400</v>
      </c>
      <c r="F27" s="12">
        <f>D27*E27</f>
        <v/>
      </c>
    </row>
    <row r="28">
      <c r="A28" s="13" t="n">
        <v>14</v>
      </c>
      <c r="B28" s="14" t="inlineStr">
        <is>
          <t>UPS / No-Break Online 1000VA / 900W Doble Conversión para respaldo de energía</t>
        </is>
      </c>
      <c r="C28" s="13" t="inlineStr">
        <is>
          <t>Pza</t>
        </is>
      </c>
      <c r="D28" s="15" t="n">
        <v>1</v>
      </c>
      <c r="E28" s="16" t="n">
        <v>5800</v>
      </c>
      <c r="F28" s="16">
        <f>D28*E28</f>
        <v/>
      </c>
    </row>
    <row r="29">
      <c r="A29" s="9" t="n">
        <v>15</v>
      </c>
      <c r="B29" s="10" t="inlineStr">
        <is>
          <t>Supresor de picos de voltaje y picos Ethernet RJ45 PoE (Protector de transitorios)</t>
        </is>
      </c>
      <c r="C29" s="9" t="inlineStr">
        <is>
          <t>Pza</t>
        </is>
      </c>
      <c r="D29" s="11" t="n">
        <v>2</v>
      </c>
      <c r="E29" s="12" t="n">
        <v>950</v>
      </c>
      <c r="F29" s="12">
        <f>D29*E29</f>
        <v/>
      </c>
    </row>
    <row r="30">
      <c r="A30" s="13" t="n">
        <v>16</v>
      </c>
      <c r="B30" s="14" t="inlineStr">
        <is>
          <t>Módulo de Relé / Interfaz I/O para control de Apertura de Pluma / Portón Eléctrico</t>
        </is>
      </c>
      <c r="C30" s="13" t="inlineStr">
        <is>
          <t>Pza</t>
        </is>
      </c>
      <c r="D30" s="15" t="n">
        <v>1</v>
      </c>
      <c r="E30" s="16" t="n">
        <v>1100</v>
      </c>
      <c r="F30" s="16">
        <f>D30*E30</f>
        <v/>
      </c>
    </row>
    <row r="31">
      <c r="A31" s="7" t="inlineStr">
        <is>
          <t>PARTIDA 5: LICENCIAMIENTO, SERVICIOS DE INSTALACIÓN Y PUESTA EN MARCHA</t>
        </is>
      </c>
      <c r="B31" s="8" t="n"/>
      <c r="C31" s="8" t="n"/>
      <c r="D31" s="8" t="n"/>
      <c r="E31" s="8" t="n"/>
      <c r="F31" s="8" t="n"/>
    </row>
    <row r="32">
      <c r="A32" s="9" t="n">
        <v>17</v>
      </c>
      <c r="B32" s="10" t="inlineStr">
        <is>
          <t>Licencia de Software VIGÍA LPR OCR Motor Deep Learning (Perpetua / Local)</t>
        </is>
      </c>
      <c r="C32" s="9" t="inlineStr">
        <is>
          <t>Lic</t>
        </is>
      </c>
      <c r="D32" s="11" t="n">
        <v>1</v>
      </c>
      <c r="E32" s="12" t="n">
        <v>12000</v>
      </c>
      <c r="F32" s="12">
        <f>D32*E32</f>
        <v/>
      </c>
    </row>
    <row r="33">
      <c r="A33" s="13" t="n">
        <v>18</v>
      </c>
      <c r="B33" s="14" t="inlineStr">
        <is>
          <t>Mano de obra especializada: Cableado, canalización, fijación y alineación óptica</t>
        </is>
      </c>
      <c r="C33" s="13" t="inlineStr">
        <is>
          <t>Serv</t>
        </is>
      </c>
      <c r="D33" s="15" t="n">
        <v>1</v>
      </c>
      <c r="E33" s="16" t="n">
        <v>8500</v>
      </c>
      <c r="F33" s="16">
        <f>D33*E33</f>
        <v/>
      </c>
    </row>
    <row r="34">
      <c r="A34" s="9" t="n">
        <v>19</v>
      </c>
      <c r="B34" s="10" t="inlineStr">
        <is>
          <t>Configuración de Servidor/Nube, calibración de motor OCR AES-256 y pruebas de lectura</t>
        </is>
      </c>
      <c r="C34" s="9" t="inlineStr">
        <is>
          <t>Serv</t>
        </is>
      </c>
      <c r="D34" s="11" t="n">
        <v>1</v>
      </c>
      <c r="E34" s="12" t="n">
        <v>6000</v>
      </c>
      <c r="F34" s="12">
        <f>D34*E34</f>
        <v/>
      </c>
    </row>
    <row r="36">
      <c r="E36" s="17" t="inlineStr">
        <is>
          <t>SUBTOTAL:</t>
        </is>
      </c>
      <c r="F36" s="18">
        <f>SUM(F11:F34)</f>
        <v/>
      </c>
    </row>
    <row r="37">
      <c r="E37" s="17" t="inlineStr">
        <is>
          <t>IVA (16%):</t>
        </is>
      </c>
      <c r="F37" s="18">
        <f>F36*0.16</f>
        <v/>
      </c>
    </row>
    <row r="38">
      <c r="E38" s="19" t="inlineStr">
        <is>
          <t>TOTAL PROYECTO:</t>
        </is>
      </c>
      <c r="F38" s="20">
        <f>F36+F37</f>
        <v/>
      </c>
    </row>
    <row r="41">
      <c r="B41" s="21" t="inlineStr">
        <is>
          <t>CONDICIONES COMERCIALES Y TÉRMINOS</t>
        </is>
      </c>
    </row>
    <row r="42">
      <c r="B42" s="2" t="inlineStr">
        <is>
          <t>1. Tiempos de entrega: 5 a 8 días hábiles a partir de la recepción del anticipo.</t>
        </is>
      </c>
    </row>
    <row r="43">
      <c r="B43" s="2" t="inlineStr">
        <is>
          <t>2. Forma de Pago: 60% de anticipo al confirmar orden, 40% contra entrega e instalación funcional.</t>
        </is>
      </c>
    </row>
    <row r="44">
      <c r="B44" s="2" t="inlineStr">
        <is>
          <t>3. Garantía: 12 meses en hardware contra defectos de fabricación. Soporte técnico 24/7.</t>
        </is>
      </c>
    </row>
    <row r="45">
      <c r="B45" s="2" t="inlineStr">
        <is>
          <t>4. Validez de la cotización: 30 días naturales a partir de la fecha de emisión.</t>
        </is>
      </c>
    </row>
    <row r="46">
      <c r="B46" s="2" t="inlineStr">
        <is>
          <t>5. La canalización contempla hasta 25 metros lineales de trayectoria estándar.</t>
        </is>
      </c>
    </row>
  </sheetData>
  <mergeCells count="5">
    <mergeCell ref="A11:F11"/>
    <mergeCell ref="A31:F31"/>
    <mergeCell ref="A26:F26"/>
    <mergeCell ref="A20:F20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2026-10-20T23:35:36Z</dcterms:created>
  <dcterms:modified xmlns:dcterms="http://purl.org/dc/terms/" xmlns:xsi="http://www.w3.org/2001/XMLSchema-instance" xsi:type="dcterms:W3CDTF">2026-10-20T23:35:36Z</dcterms:modified>
</cp:coreProperties>
</file>